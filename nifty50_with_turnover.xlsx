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hridyanshgupta/Desktop/FRAM Project/"/>
    </mc:Choice>
  </mc:AlternateContent>
  <xr:revisionPtr revIDLastSave="0" documentId="13_ncr:1_{4392D0DA-1A13-B54C-A1A5-0DB805A25AB1}" xr6:coauthVersionLast="47" xr6:coauthVersionMax="47" xr10:uidLastSave="{00000000-0000-0000-0000-000000000000}"/>
  <bookViews>
    <workbookView xWindow="0" yWindow="680" windowWidth="34200" windowHeight="21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1" l="1"/>
  <c r="H41" i="1"/>
  <c r="H35" i="1"/>
  <c r="H13" i="1"/>
  <c r="H37" i="1"/>
  <c r="H14" i="1"/>
  <c r="H43" i="1"/>
  <c r="H17" i="1"/>
  <c r="H5" i="1"/>
  <c r="H45" i="1"/>
  <c r="H33" i="1"/>
  <c r="H44" i="1"/>
  <c r="H30" i="1"/>
  <c r="H8" i="1"/>
  <c r="H48" i="1"/>
  <c r="H23" i="1"/>
  <c r="H2" i="1"/>
  <c r="H46" i="1"/>
  <c r="H21" i="1"/>
  <c r="H27" i="1"/>
  <c r="H3" i="1"/>
  <c r="H15" i="1"/>
  <c r="H6" i="1"/>
  <c r="H11" i="1"/>
  <c r="H47" i="1"/>
  <c r="H38" i="1"/>
  <c r="H18" i="1"/>
  <c r="H10" i="1"/>
  <c r="H12" i="1"/>
  <c r="H19" i="1"/>
  <c r="H32" i="1"/>
  <c r="H31" i="1"/>
  <c r="H51" i="1"/>
  <c r="H28" i="1"/>
  <c r="H24" i="1"/>
  <c r="H4" i="1"/>
  <c r="H49" i="1"/>
  <c r="H16" i="1"/>
  <c r="H7" i="1"/>
  <c r="H25" i="1"/>
  <c r="H9" i="1"/>
  <c r="H50" i="1"/>
  <c r="H22" i="1"/>
  <c r="H20" i="1"/>
  <c r="H39" i="1"/>
  <c r="H29" i="1"/>
  <c r="H26" i="1"/>
  <c r="H40" i="1"/>
  <c r="H42" i="1"/>
  <c r="H36" i="1"/>
</calcChain>
</file>

<file path=xl/sharedStrings.xml><?xml version="1.0" encoding="utf-8"?>
<sst xmlns="http://schemas.openxmlformats.org/spreadsheetml/2006/main" count="259" uniqueCount="175">
  <si>
    <t>Company Name</t>
  </si>
  <si>
    <t>Industry</t>
  </si>
  <si>
    <t>Symbol</t>
  </si>
  <si>
    <t>Series</t>
  </si>
  <si>
    <t>ISIN Code</t>
  </si>
  <si>
    <t>Adani Enterprises Ltd.</t>
  </si>
  <si>
    <t>Metals &amp; Mining</t>
  </si>
  <si>
    <t>ADANIENT</t>
  </si>
  <si>
    <t>EQ</t>
  </si>
  <si>
    <t>INE423A01024</t>
  </si>
  <si>
    <t>Adani Ports and Special Economic Zone Ltd.</t>
  </si>
  <si>
    <t>Services</t>
  </si>
  <si>
    <t>ADANIPORTS</t>
  </si>
  <si>
    <t>INE742F01042</t>
  </si>
  <si>
    <t>Apollo Hospitals Enterprise Ltd.</t>
  </si>
  <si>
    <t>Healthcare</t>
  </si>
  <si>
    <t>APOLLOHOSP</t>
  </si>
  <si>
    <t>INE437A01024</t>
  </si>
  <si>
    <t>Asian Paints Ltd.</t>
  </si>
  <si>
    <t>Consumer Durables</t>
  </si>
  <si>
    <t>ASIANPAINT</t>
  </si>
  <si>
    <t>INE021A01026</t>
  </si>
  <si>
    <t>Axis Bank Ltd.</t>
  </si>
  <si>
    <t>Financial Services</t>
  </si>
  <si>
    <t>AXISBANK</t>
  </si>
  <si>
    <t>INE238A01034</t>
  </si>
  <si>
    <t>Bajaj Auto Ltd.</t>
  </si>
  <si>
    <t>Automobile and Auto Components</t>
  </si>
  <si>
    <t>BAJAJ-AUTO</t>
  </si>
  <si>
    <t>INE917I01010</t>
  </si>
  <si>
    <t>Bajaj Finance Ltd.</t>
  </si>
  <si>
    <t>BAJFINANCE</t>
  </si>
  <si>
    <t>INE296A01032</t>
  </si>
  <si>
    <t>Bajaj Finserv Ltd.</t>
  </si>
  <si>
    <t>BAJAJFINSV</t>
  </si>
  <si>
    <t>INE918I01026</t>
  </si>
  <si>
    <t>Bharat Electronics Ltd.</t>
  </si>
  <si>
    <t>Capital Goods</t>
  </si>
  <si>
    <t>BEL</t>
  </si>
  <si>
    <t>INE263A01024</t>
  </si>
  <si>
    <t>Bharti Airtel Ltd.</t>
  </si>
  <si>
    <t>Telecommunication</t>
  </si>
  <si>
    <t>BHARTIARTL</t>
  </si>
  <si>
    <t>INE397D01024</t>
  </si>
  <si>
    <t>Cipla Ltd.</t>
  </si>
  <si>
    <t>CIPLA</t>
  </si>
  <si>
    <t>INE059A01026</t>
  </si>
  <si>
    <t>Coal India Ltd.</t>
  </si>
  <si>
    <t>Oil Gas &amp; Consumable Fuels</t>
  </si>
  <si>
    <t>COALINDIA</t>
  </si>
  <si>
    <t>INE522F01014</t>
  </si>
  <si>
    <t>Dr. Reddy's Laboratories Ltd.</t>
  </si>
  <si>
    <t>DRREDDY</t>
  </si>
  <si>
    <t>INE089A01031</t>
  </si>
  <si>
    <t>Eicher Motors Ltd.</t>
  </si>
  <si>
    <t>EICHERMOT</t>
  </si>
  <si>
    <t>INE066A01021</t>
  </si>
  <si>
    <t>Eternal Ltd.</t>
  </si>
  <si>
    <t>Consumer Services</t>
  </si>
  <si>
    <t>ETERNAL</t>
  </si>
  <si>
    <t>INE758T01015</t>
  </si>
  <si>
    <t>Grasim Industries Ltd.</t>
  </si>
  <si>
    <t>Construction Materials</t>
  </si>
  <si>
    <t>GRASIM</t>
  </si>
  <si>
    <t>INE047A01021</t>
  </si>
  <si>
    <t>HCL Technologies Ltd.</t>
  </si>
  <si>
    <t>Information Technology</t>
  </si>
  <si>
    <t>HCLTECH</t>
  </si>
  <si>
    <t>INE860A01027</t>
  </si>
  <si>
    <t>HDFC Bank Ltd.</t>
  </si>
  <si>
    <t>HDFCBANK</t>
  </si>
  <si>
    <t>INE040A01034</t>
  </si>
  <si>
    <t>HDFC Life Insurance Company Ltd.</t>
  </si>
  <si>
    <t>HDFCLIFE</t>
  </si>
  <si>
    <t>INE795G01014</t>
  </si>
  <si>
    <t>Hindalco Industries Ltd.</t>
  </si>
  <si>
    <t>HINDALCO</t>
  </si>
  <si>
    <t>INE038A01020</t>
  </si>
  <si>
    <t>Hindustan Unilever Ltd.</t>
  </si>
  <si>
    <t>Fast Moving Consumer Goods</t>
  </si>
  <si>
    <t>HINDUNILVR</t>
  </si>
  <si>
    <t>INE030A01027</t>
  </si>
  <si>
    <t>ICICI Bank Ltd.</t>
  </si>
  <si>
    <t>ICICIBANK</t>
  </si>
  <si>
    <t>INE090A01021</t>
  </si>
  <si>
    <t>ITC Ltd.</t>
  </si>
  <si>
    <t>ITC</t>
  </si>
  <si>
    <t>INE154A01025</t>
  </si>
  <si>
    <t>Infosys Ltd.</t>
  </si>
  <si>
    <t>INFY</t>
  </si>
  <si>
    <t>INE009A01021</t>
  </si>
  <si>
    <t>InterGlobe Aviation Ltd.</t>
  </si>
  <si>
    <t>INDIGO</t>
  </si>
  <si>
    <t>INE646L01027</t>
  </si>
  <si>
    <t>JSW Steel Ltd.</t>
  </si>
  <si>
    <t>JSWSTEEL</t>
  </si>
  <si>
    <t>INE019A01038</t>
  </si>
  <si>
    <t>Jio Financial Services Ltd.</t>
  </si>
  <si>
    <t>JIOFIN</t>
  </si>
  <si>
    <t>INE758E01017</t>
  </si>
  <si>
    <t>Kotak Mahindra Bank Ltd.</t>
  </si>
  <si>
    <t>KOTAKBANK</t>
  </si>
  <si>
    <t>INE237A01036</t>
  </si>
  <si>
    <t>Larsen &amp; Toubro Ltd.</t>
  </si>
  <si>
    <t>Construction</t>
  </si>
  <si>
    <t>LT</t>
  </si>
  <si>
    <t>INE018A01030</t>
  </si>
  <si>
    <t>Mahindra &amp; Mahindra Ltd.</t>
  </si>
  <si>
    <t>M&amp;M</t>
  </si>
  <si>
    <t>INE101A01026</t>
  </si>
  <si>
    <t>Maruti Suzuki India Ltd.</t>
  </si>
  <si>
    <t>MARUTI</t>
  </si>
  <si>
    <t>INE585B01010</t>
  </si>
  <si>
    <t>Max Healthcare Institute Ltd.</t>
  </si>
  <si>
    <t>MAXHEALTH</t>
  </si>
  <si>
    <t>INE027H01010</t>
  </si>
  <si>
    <t>NTPC Ltd.</t>
  </si>
  <si>
    <t>Power</t>
  </si>
  <si>
    <t>NTPC</t>
  </si>
  <si>
    <t>INE733E01010</t>
  </si>
  <si>
    <t>Nestle India Ltd.</t>
  </si>
  <si>
    <t>NESTLEIND</t>
  </si>
  <si>
    <t>INE239A01024</t>
  </si>
  <si>
    <t>Oil &amp; Natural Gas Corporation Ltd.</t>
  </si>
  <si>
    <t>ONGC</t>
  </si>
  <si>
    <t>INE213A01029</t>
  </si>
  <si>
    <t>Power Grid Corporation of India Ltd.</t>
  </si>
  <si>
    <t>POWERGRID</t>
  </si>
  <si>
    <t>INE752E01010</t>
  </si>
  <si>
    <t>Reliance Industries Ltd.</t>
  </si>
  <si>
    <t>RELIANCE</t>
  </si>
  <si>
    <t>INE002A01018</t>
  </si>
  <si>
    <t>SBI Life Insurance Company Ltd.</t>
  </si>
  <si>
    <t>SBILIFE</t>
  </si>
  <si>
    <t>INE123W01016</t>
  </si>
  <si>
    <t>Shriram Finance Ltd.</t>
  </si>
  <si>
    <t>SHRIRAMFIN</t>
  </si>
  <si>
    <t>INE721A01047</t>
  </si>
  <si>
    <t>State Bank of India</t>
  </si>
  <si>
    <t>SBIN</t>
  </si>
  <si>
    <t>INE062A01020</t>
  </si>
  <si>
    <t>Sun Pharmaceutical Industries Ltd.</t>
  </si>
  <si>
    <t>SUNPHARMA</t>
  </si>
  <si>
    <t>INE044A01036</t>
  </si>
  <si>
    <t>Tata Consultancy Services Ltd.</t>
  </si>
  <si>
    <t>TCS</t>
  </si>
  <si>
    <t>INE467B01029</t>
  </si>
  <si>
    <t>Tata Consumer Products Ltd.</t>
  </si>
  <si>
    <t>TATACONSUM</t>
  </si>
  <si>
    <t>INE192A01025</t>
  </si>
  <si>
    <t>Tata Motors Passenger Vehicles Ltd.</t>
  </si>
  <si>
    <t>TMPV</t>
  </si>
  <si>
    <t>INE155A01022</t>
  </si>
  <si>
    <t>Tata Steel Ltd.</t>
  </si>
  <si>
    <t>TATASTEEL</t>
  </si>
  <si>
    <t>INE081A01020</t>
  </si>
  <si>
    <t>Tech Mahindra Ltd.</t>
  </si>
  <si>
    <t>TECHM</t>
  </si>
  <si>
    <t>INE669C01036</t>
  </si>
  <si>
    <t>Titan Company Ltd.</t>
  </si>
  <si>
    <t>TITAN</t>
  </si>
  <si>
    <t>INE280A01028</t>
  </si>
  <si>
    <t>Trent Ltd.</t>
  </si>
  <si>
    <t>TRENT</t>
  </si>
  <si>
    <t>INE849A01020</t>
  </si>
  <si>
    <t>UltraTech Cement Ltd.</t>
  </si>
  <si>
    <t>ULTRACEMCO</t>
  </si>
  <si>
    <t>INE481G01011</t>
  </si>
  <si>
    <t>Wipro Ltd.</t>
  </si>
  <si>
    <t>WIPRO</t>
  </si>
  <si>
    <t>INE075A01022</t>
  </si>
  <si>
    <t>Market Cap (Cr.)</t>
  </si>
  <si>
    <t>Average Turnover(6 months)</t>
  </si>
  <si>
    <t>Average Turnover Ratio</t>
  </si>
  <si>
    <t>Average Amihud Illiquidity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</si>
</sst>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workbookViewId="0">
      <selection activeCell="L7" sqref="L7"/>
    </sheetView>
  </sheetViews>
  <sheetFormatPr baseColWidth="10" defaultColWidth="8.83203125" defaultRowHeight="21" x14ac:dyDescent="0.25"/>
  <cols>
    <col min="1" max="1" width="49" style="1" customWidth="1"/>
    <col min="2" max="2" width="40.6640625" style="1" customWidth="1"/>
    <col min="3" max="3" width="15.6640625" style="1" customWidth="1"/>
    <col min="4" max="4" width="9" style="1" customWidth="1"/>
    <col min="5" max="5" width="20.1640625" style="1" customWidth="1"/>
    <col min="6" max="6" width="32.83203125" style="1" customWidth="1"/>
    <col min="7" max="7" width="25.83203125" style="2" customWidth="1"/>
    <col min="8" max="9" width="30.1640625" style="1" customWidth="1"/>
    <col min="10" max="16384" width="8.83203125" style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172</v>
      </c>
      <c r="G1" s="1" t="s">
        <v>171</v>
      </c>
      <c r="H1" s="1" t="s">
        <v>173</v>
      </c>
      <c r="I1" s="1" t="s">
        <v>174</v>
      </c>
    </row>
    <row r="2" spans="1:9" x14ac:dyDescent="0.25">
      <c r="A2" s="1" t="s">
        <v>69</v>
      </c>
      <c r="B2" s="1" t="s">
        <v>23</v>
      </c>
      <c r="C2" s="1" t="s">
        <v>70</v>
      </c>
      <c r="D2" s="1" t="s">
        <v>8</v>
      </c>
      <c r="E2" s="1" t="s">
        <v>71</v>
      </c>
      <c r="F2" s="1">
        <v>25774936627.350101</v>
      </c>
      <c r="G2" s="2">
        <v>1163381.73</v>
      </c>
      <c r="H2" s="1">
        <f>F2/G2</f>
        <v>22155.18428963991</v>
      </c>
      <c r="I2" s="1">
        <v>3.323010805897396E-13</v>
      </c>
    </row>
    <row r="3" spans="1:9" x14ac:dyDescent="0.25">
      <c r="A3" s="1" t="s">
        <v>82</v>
      </c>
      <c r="B3" s="1" t="s">
        <v>23</v>
      </c>
      <c r="C3" s="1" t="s">
        <v>83</v>
      </c>
      <c r="D3" s="1" t="s">
        <v>8</v>
      </c>
      <c r="E3" s="1" t="s">
        <v>84</v>
      </c>
      <c r="F3" s="1">
        <v>18134696747.579189</v>
      </c>
      <c r="G3" s="2">
        <v>882190.66</v>
      </c>
      <c r="H3" s="1">
        <f>F3/G3</f>
        <v>20556.437026412397</v>
      </c>
      <c r="I3" s="1">
        <v>5.1345575326163423E-13</v>
      </c>
    </row>
    <row r="4" spans="1:9" x14ac:dyDescent="0.25">
      <c r="A4" s="1" t="s">
        <v>129</v>
      </c>
      <c r="B4" s="1" t="s">
        <v>48</v>
      </c>
      <c r="C4" s="1" t="s">
        <v>130</v>
      </c>
      <c r="D4" s="1" t="s">
        <v>8</v>
      </c>
      <c r="E4" s="1" t="s">
        <v>131</v>
      </c>
      <c r="F4" s="1">
        <v>18045002128.213711</v>
      </c>
      <c r="G4" s="2">
        <v>1824312.64</v>
      </c>
      <c r="H4" s="1">
        <f>F4/G4</f>
        <v>9891.397851748543</v>
      </c>
      <c r="I4" s="1">
        <v>5.1098451432298014E-13</v>
      </c>
    </row>
    <row r="5" spans="1:9" x14ac:dyDescent="0.25">
      <c r="A5" s="1" t="s">
        <v>40</v>
      </c>
      <c r="B5" s="1" t="s">
        <v>41</v>
      </c>
      <c r="C5" s="1" t="s">
        <v>42</v>
      </c>
      <c r="D5" s="1" t="s">
        <v>8</v>
      </c>
      <c r="E5" s="1" t="s">
        <v>43</v>
      </c>
      <c r="F5" s="1">
        <v>14957591192.671511</v>
      </c>
      <c r="G5" s="2">
        <v>1051411.2</v>
      </c>
      <c r="H5" s="1">
        <f>F5/G5</f>
        <v>14226.204925980921</v>
      </c>
      <c r="I5" s="1">
        <v>8.1055426644102655E-13</v>
      </c>
    </row>
    <row r="6" spans="1:9" x14ac:dyDescent="0.25">
      <c r="A6" s="1" t="s">
        <v>88</v>
      </c>
      <c r="B6" s="1" t="s">
        <v>66</v>
      </c>
      <c r="C6" s="1" t="s">
        <v>89</v>
      </c>
      <c r="D6" s="1" t="s">
        <v>8</v>
      </c>
      <c r="E6" s="1" t="s">
        <v>90</v>
      </c>
      <c r="F6" s="1">
        <v>14456559654.61655</v>
      </c>
      <c r="G6" s="2">
        <v>514815.66</v>
      </c>
      <c r="H6" s="1">
        <f>F6/G6</f>
        <v>28081.040997502972</v>
      </c>
      <c r="I6" s="1">
        <v>8.4002120330372339E-13</v>
      </c>
    </row>
    <row r="7" spans="1:9" x14ac:dyDescent="0.25">
      <c r="A7" s="1" t="s">
        <v>138</v>
      </c>
      <c r="B7" s="1" t="s">
        <v>23</v>
      </c>
      <c r="C7" s="1" t="s">
        <v>139</v>
      </c>
      <c r="D7" s="1" t="s">
        <v>8</v>
      </c>
      <c r="E7" s="1" t="s">
        <v>140</v>
      </c>
      <c r="F7" s="1">
        <v>12243695536.86314</v>
      </c>
      <c r="G7" s="2">
        <v>941061.46</v>
      </c>
      <c r="H7" s="1">
        <f>F7/G7</f>
        <v>13010.51637675518</v>
      </c>
      <c r="I7" s="1">
        <v>8.4899219095019078E-13</v>
      </c>
    </row>
    <row r="8" spans="1:9" x14ac:dyDescent="0.25">
      <c r="A8" s="1" t="s">
        <v>57</v>
      </c>
      <c r="B8" s="1" t="s">
        <v>58</v>
      </c>
      <c r="C8" s="1" t="s">
        <v>59</v>
      </c>
      <c r="D8" s="1" t="s">
        <v>8</v>
      </c>
      <c r="E8" s="1" t="s">
        <v>60</v>
      </c>
      <c r="F8" s="1">
        <v>11384343026.76153</v>
      </c>
      <c r="G8" s="2">
        <v>225017.23</v>
      </c>
      <c r="H8" s="1">
        <f>F8/G8</f>
        <v>50593.205803669029</v>
      </c>
      <c r="I8" s="1">
        <v>1.5560137599073911E-12</v>
      </c>
    </row>
    <row r="9" spans="1:9" x14ac:dyDescent="0.25">
      <c r="A9" s="1" t="s">
        <v>144</v>
      </c>
      <c r="B9" s="1" t="s">
        <v>66</v>
      </c>
      <c r="C9" s="1" t="s">
        <v>145</v>
      </c>
      <c r="D9" s="1" t="s">
        <v>8</v>
      </c>
      <c r="E9" s="1" t="s">
        <v>146</v>
      </c>
      <c r="F9" s="1">
        <v>9514356325.0022087</v>
      </c>
      <c r="G9" s="2">
        <v>864650.56</v>
      </c>
      <c r="H9" s="1">
        <f>F9/G9</f>
        <v>11003.701107881325</v>
      </c>
      <c r="I9" s="1">
        <v>1.148256630696195E-12</v>
      </c>
    </row>
    <row r="10" spans="1:9" x14ac:dyDescent="0.25">
      <c r="A10" s="1" t="s">
        <v>103</v>
      </c>
      <c r="B10" s="1" t="s">
        <v>104</v>
      </c>
      <c r="C10" s="1" t="s">
        <v>105</v>
      </c>
      <c r="D10" s="1" t="s">
        <v>8</v>
      </c>
      <c r="E10" s="1" t="s">
        <v>106</v>
      </c>
      <c r="F10" s="1">
        <v>8814693276.1701183</v>
      </c>
      <c r="G10" s="2">
        <v>490270.78</v>
      </c>
      <c r="H10" s="1">
        <f>F10/G10</f>
        <v>17979.234406280786</v>
      </c>
      <c r="I10" s="1">
        <v>1.1771403142762191E-12</v>
      </c>
    </row>
    <row r="11" spans="1:9" x14ac:dyDescent="0.25">
      <c r="A11" s="1" t="s">
        <v>91</v>
      </c>
      <c r="B11" s="1" t="s">
        <v>11</v>
      </c>
      <c r="C11" s="1" t="s">
        <v>92</v>
      </c>
      <c r="D11" s="1" t="s">
        <v>8</v>
      </c>
      <c r="E11" s="1" t="s">
        <v>93</v>
      </c>
      <c r="F11" s="1">
        <v>8576637349.5097561</v>
      </c>
      <c r="G11" s="2">
        <v>158482.82</v>
      </c>
      <c r="H11" s="1">
        <f>F11/G11</f>
        <v>54117.142473296197</v>
      </c>
      <c r="I11" s="1">
        <v>2.480822085419154E-12</v>
      </c>
    </row>
    <row r="12" spans="1:9" x14ac:dyDescent="0.25">
      <c r="A12" s="1" t="s">
        <v>107</v>
      </c>
      <c r="B12" s="1" t="s">
        <v>27</v>
      </c>
      <c r="C12" s="1" t="s">
        <v>108</v>
      </c>
      <c r="D12" s="1" t="s">
        <v>8</v>
      </c>
      <c r="E12" s="1" t="s">
        <v>109</v>
      </c>
      <c r="F12" s="1">
        <v>8396730811.980854</v>
      </c>
      <c r="G12" s="2">
        <v>378194.42</v>
      </c>
      <c r="H12" s="1">
        <f>F12/G12</f>
        <v>22202.154151245421</v>
      </c>
      <c r="I12" s="1">
        <v>1.465749256444684E-12</v>
      </c>
    </row>
    <row r="13" spans="1:9" x14ac:dyDescent="0.25">
      <c r="A13" s="1" t="s">
        <v>22</v>
      </c>
      <c r="B13" s="1" t="s">
        <v>23</v>
      </c>
      <c r="C13" s="1" t="s">
        <v>24</v>
      </c>
      <c r="D13" s="1" t="s">
        <v>8</v>
      </c>
      <c r="E13" s="1" t="s">
        <v>25</v>
      </c>
      <c r="F13" s="1">
        <v>8059886984.4438324</v>
      </c>
      <c r="G13" s="2">
        <v>374152.96000000002</v>
      </c>
      <c r="H13" s="1">
        <f>F13/G13</f>
        <v>21541.689752885643</v>
      </c>
      <c r="I13" s="1">
        <v>1.4115418048819019E-12</v>
      </c>
    </row>
    <row r="14" spans="1:9" x14ac:dyDescent="0.25">
      <c r="A14" s="1" t="s">
        <v>30</v>
      </c>
      <c r="B14" s="1" t="s">
        <v>23</v>
      </c>
      <c r="C14" s="1" t="s">
        <v>31</v>
      </c>
      <c r="D14" s="1" t="s">
        <v>8</v>
      </c>
      <c r="E14" s="1" t="s">
        <v>32</v>
      </c>
      <c r="F14" s="1">
        <v>7571289016.265111</v>
      </c>
      <c r="G14" s="2">
        <v>525053.02</v>
      </c>
      <c r="H14" s="1">
        <f>F14/G14</f>
        <v>14420.046600751122</v>
      </c>
      <c r="I14" s="1">
        <v>1.699922113335693E-12</v>
      </c>
    </row>
    <row r="15" spans="1:9" x14ac:dyDescent="0.25">
      <c r="A15" s="1" t="s">
        <v>85</v>
      </c>
      <c r="B15" s="1" t="s">
        <v>79</v>
      </c>
      <c r="C15" s="1" t="s">
        <v>86</v>
      </c>
      <c r="D15" s="1" t="s">
        <v>8</v>
      </c>
      <c r="E15" s="1" t="s">
        <v>87</v>
      </c>
      <c r="F15" s="1">
        <v>7149353605.6391926</v>
      </c>
      <c r="G15" s="2">
        <v>369222.69</v>
      </c>
      <c r="H15" s="1">
        <f>F15/G15</f>
        <v>19363.256374193017</v>
      </c>
      <c r="I15" s="1">
        <v>1.4525514231109379E-12</v>
      </c>
    </row>
    <row r="16" spans="1:9" x14ac:dyDescent="0.25">
      <c r="A16" s="1" t="s">
        <v>135</v>
      </c>
      <c r="B16" s="1" t="s">
        <v>23</v>
      </c>
      <c r="C16" s="1" t="s">
        <v>136</v>
      </c>
      <c r="D16" s="1" t="s">
        <v>8</v>
      </c>
      <c r="E16" s="1" t="s">
        <v>137</v>
      </c>
      <c r="F16" s="1">
        <v>6872225000.3458023</v>
      </c>
      <c r="G16" s="2">
        <v>170037.51</v>
      </c>
      <c r="H16" s="1">
        <f>F16/G16</f>
        <v>40415.935285960149</v>
      </c>
      <c r="I16" s="1">
        <v>2.4554012914951181E-12</v>
      </c>
    </row>
    <row r="17" spans="1:9" x14ac:dyDescent="0.25">
      <c r="A17" s="1" t="s">
        <v>36</v>
      </c>
      <c r="B17" s="1" t="s">
        <v>37</v>
      </c>
      <c r="C17" s="1" t="s">
        <v>38</v>
      </c>
      <c r="D17" s="1" t="s">
        <v>8</v>
      </c>
      <c r="E17" s="1" t="s">
        <v>39</v>
      </c>
      <c r="F17" s="1">
        <v>6773123680.1932182</v>
      </c>
      <c r="G17" s="2">
        <v>295863.3</v>
      </c>
      <c r="H17" s="1">
        <f>F17/G17</f>
        <v>22892.747022673033</v>
      </c>
      <c r="I17" s="1">
        <v>2.0524980863114971E-12</v>
      </c>
    </row>
    <row r="18" spans="1:9" x14ac:dyDescent="0.25">
      <c r="A18" s="1" t="s">
        <v>100</v>
      </c>
      <c r="B18" s="1" t="s">
        <v>23</v>
      </c>
      <c r="C18" s="1" t="s">
        <v>101</v>
      </c>
      <c r="D18" s="1" t="s">
        <v>8</v>
      </c>
      <c r="E18" s="1" t="s">
        <v>102</v>
      </c>
      <c r="F18" s="1">
        <v>6772061535.5386791</v>
      </c>
      <c r="G18" s="2">
        <v>364154.23</v>
      </c>
      <c r="H18" s="1">
        <f>F18/G18</f>
        <v>18596.685079117931</v>
      </c>
      <c r="I18" s="1">
        <v>1.5320064077485391E-12</v>
      </c>
    </row>
    <row r="19" spans="1:9" x14ac:dyDescent="0.25">
      <c r="A19" s="1" t="s">
        <v>110</v>
      </c>
      <c r="B19" s="1" t="s">
        <v>27</v>
      </c>
      <c r="C19" s="1" t="s">
        <v>111</v>
      </c>
      <c r="D19" s="1" t="s">
        <v>8</v>
      </c>
      <c r="E19" s="1" t="s">
        <v>112</v>
      </c>
      <c r="F19" s="1">
        <v>6118104278.0813007</v>
      </c>
      <c r="G19" s="2">
        <v>389513.35</v>
      </c>
      <c r="H19" s="1">
        <f>F19/G19</f>
        <v>15707.046441620811</v>
      </c>
      <c r="I19" s="1">
        <v>1.8780494382801009E-12</v>
      </c>
    </row>
    <row r="20" spans="1:9" x14ac:dyDescent="0.25">
      <c r="A20" s="1" t="s">
        <v>153</v>
      </c>
      <c r="B20" s="1" t="s">
        <v>6</v>
      </c>
      <c r="C20" s="1" t="s">
        <v>154</v>
      </c>
      <c r="D20" s="1" t="s">
        <v>8</v>
      </c>
      <c r="E20" s="1" t="s">
        <v>155</v>
      </c>
      <c r="F20" s="1">
        <v>5408613872.5017471</v>
      </c>
      <c r="G20" s="2">
        <v>241206.71</v>
      </c>
      <c r="H20" s="1">
        <f>F20/G20</f>
        <v>22423.14847916854</v>
      </c>
      <c r="I20" s="1">
        <v>2.7554340315855859E-12</v>
      </c>
    </row>
    <row r="21" spans="1:9" x14ac:dyDescent="0.25">
      <c r="A21" s="1" t="s">
        <v>75</v>
      </c>
      <c r="B21" s="1" t="s">
        <v>6</v>
      </c>
      <c r="C21" s="1" t="s">
        <v>76</v>
      </c>
      <c r="D21" s="1" t="s">
        <v>8</v>
      </c>
      <c r="E21" s="1" t="s">
        <v>77</v>
      </c>
      <c r="F21" s="1">
        <v>5310585251.2043753</v>
      </c>
      <c r="G21" s="2">
        <v>194767.12</v>
      </c>
      <c r="H21" s="1">
        <f>F21/G21</f>
        <v>27266.333512578381</v>
      </c>
      <c r="I21" s="1">
        <v>2.7603480759082719E-12</v>
      </c>
    </row>
    <row r="22" spans="1:9" x14ac:dyDescent="0.25">
      <c r="A22" s="1" t="s">
        <v>150</v>
      </c>
      <c r="B22" s="1" t="s">
        <v>27</v>
      </c>
      <c r="C22" s="1" t="s">
        <v>151</v>
      </c>
      <c r="D22" s="1" t="s">
        <v>8</v>
      </c>
      <c r="E22" s="1" t="s">
        <v>152</v>
      </c>
      <c r="F22" s="1">
        <v>4259793201.625762</v>
      </c>
      <c r="G22" s="2">
        <v>111655.81</v>
      </c>
      <c r="H22" s="1">
        <f>F22/G22</f>
        <v>38151.111004664803</v>
      </c>
      <c r="I22" s="1">
        <v>3.4455695973376211E-12</v>
      </c>
    </row>
    <row r="23" spans="1:9" x14ac:dyDescent="0.25">
      <c r="A23" s="1" t="s">
        <v>65</v>
      </c>
      <c r="B23" s="1" t="s">
        <v>66</v>
      </c>
      <c r="C23" s="1" t="s">
        <v>67</v>
      </c>
      <c r="D23" s="1" t="s">
        <v>8</v>
      </c>
      <c r="E23" s="1" t="s">
        <v>68</v>
      </c>
      <c r="F23" s="1">
        <v>4218308291.2945151</v>
      </c>
      <c r="G23" s="2">
        <v>370252.47</v>
      </c>
      <c r="H23" s="1">
        <f>F23/G23</f>
        <v>11393.0591504076</v>
      </c>
      <c r="I23" s="1">
        <v>2.80879253204654E-12</v>
      </c>
    </row>
    <row r="24" spans="1:9" x14ac:dyDescent="0.25">
      <c r="A24" s="1" t="s">
        <v>126</v>
      </c>
      <c r="B24" s="1" t="s">
        <v>117</v>
      </c>
      <c r="C24" s="1" t="s">
        <v>127</v>
      </c>
      <c r="D24" s="1" t="s">
        <v>8</v>
      </c>
      <c r="E24" s="1" t="s">
        <v>128</v>
      </c>
      <c r="F24" s="1">
        <v>3939486967.1980152</v>
      </c>
      <c r="G24" s="2">
        <v>274832.84000000003</v>
      </c>
      <c r="H24" s="1">
        <f>F24/G24</f>
        <v>14334.120213574241</v>
      </c>
      <c r="I24" s="1">
        <v>2.6761692639613388E-12</v>
      </c>
    </row>
    <row r="25" spans="1:9" x14ac:dyDescent="0.25">
      <c r="A25" s="1" t="s">
        <v>141</v>
      </c>
      <c r="B25" s="1" t="s">
        <v>15</v>
      </c>
      <c r="C25" s="1" t="s">
        <v>142</v>
      </c>
      <c r="D25" s="1" t="s">
        <v>8</v>
      </c>
      <c r="E25" s="1" t="s">
        <v>143</v>
      </c>
      <c r="F25" s="1">
        <v>3890545556.774116</v>
      </c>
      <c r="G25" s="2">
        <v>430344.72</v>
      </c>
      <c r="H25" s="1">
        <f>F25/G25</f>
        <v>9040.5328007140797</v>
      </c>
      <c r="I25" s="1">
        <v>2.4251457551973842E-12</v>
      </c>
    </row>
    <row r="26" spans="1:9" x14ac:dyDescent="0.25">
      <c r="A26" s="1" t="s">
        <v>162</v>
      </c>
      <c r="B26" s="1" t="s">
        <v>58</v>
      </c>
      <c r="C26" s="1" t="s">
        <v>163</v>
      </c>
      <c r="D26" s="1" t="s">
        <v>8</v>
      </c>
      <c r="E26" s="1" t="s">
        <v>164</v>
      </c>
      <c r="F26" s="1">
        <v>3844083547.606946</v>
      </c>
      <c r="G26" s="2">
        <v>120851.52</v>
      </c>
      <c r="H26" s="1">
        <f>F26/G26</f>
        <v>31808.317740703187</v>
      </c>
      <c r="I26" s="1">
        <v>4.0382965133738241E-12</v>
      </c>
    </row>
    <row r="27" spans="1:9" x14ac:dyDescent="0.25">
      <c r="A27" s="1" t="s">
        <v>78</v>
      </c>
      <c r="B27" s="1" t="s">
        <v>79</v>
      </c>
      <c r="C27" s="1" t="s">
        <v>80</v>
      </c>
      <c r="D27" s="1" t="s">
        <v>8</v>
      </c>
      <c r="E27" s="1" t="s">
        <v>81</v>
      </c>
      <c r="F27" s="1">
        <v>3774007763.4034991</v>
      </c>
      <c r="G27" s="2">
        <v>487399.21</v>
      </c>
      <c r="H27" s="1">
        <f>F27/G27</f>
        <v>7743.1552738944711</v>
      </c>
      <c r="I27" s="1">
        <v>2.5238916671633888E-12</v>
      </c>
    </row>
    <row r="28" spans="1:9" x14ac:dyDescent="0.25">
      <c r="A28" s="1" t="s">
        <v>123</v>
      </c>
      <c r="B28" s="1" t="s">
        <v>48</v>
      </c>
      <c r="C28" s="1" t="s">
        <v>124</v>
      </c>
      <c r="D28" s="1" t="s">
        <v>8</v>
      </c>
      <c r="E28" s="1" t="s">
        <v>125</v>
      </c>
      <c r="F28" s="1">
        <v>3704722721.4772239</v>
      </c>
      <c r="G28" s="2">
        <v>354700.97</v>
      </c>
      <c r="H28" s="1">
        <f>F28/G28</f>
        <v>10444.636566618987</v>
      </c>
      <c r="I28" s="1">
        <v>3.8381518518234874E-12</v>
      </c>
    </row>
    <row r="29" spans="1:9" x14ac:dyDescent="0.25">
      <c r="A29" s="1" t="s">
        <v>159</v>
      </c>
      <c r="B29" s="1" t="s">
        <v>19</v>
      </c>
      <c r="C29" s="1" t="s">
        <v>160</v>
      </c>
      <c r="D29" s="1" t="s">
        <v>8</v>
      </c>
      <c r="E29" s="1" t="s">
        <v>161</v>
      </c>
      <c r="F29" s="1">
        <v>3629022847.951529</v>
      </c>
      <c r="G29" s="2">
        <v>353472.06</v>
      </c>
      <c r="H29" s="1">
        <f>F29/G29</f>
        <v>10266.788407410557</v>
      </c>
      <c r="I29" s="1">
        <v>2.8714711835572751E-12</v>
      </c>
    </row>
    <row r="30" spans="1:9" x14ac:dyDescent="0.25">
      <c r="A30" s="1" t="s">
        <v>54</v>
      </c>
      <c r="B30" s="1" t="s">
        <v>27</v>
      </c>
      <c r="C30" s="1" t="s">
        <v>55</v>
      </c>
      <c r="D30" s="1" t="s">
        <v>8</v>
      </c>
      <c r="E30" s="1" t="s">
        <v>56</v>
      </c>
      <c r="F30" s="1">
        <v>3534184352.2520332</v>
      </c>
      <c r="G30" s="2">
        <v>186838.93</v>
      </c>
      <c r="H30" s="1">
        <f>F30/G30</f>
        <v>18915.674331104514</v>
      </c>
      <c r="I30" s="1">
        <v>3.5925485543791261E-12</v>
      </c>
    </row>
    <row r="31" spans="1:9" x14ac:dyDescent="0.25">
      <c r="A31" s="1" t="s">
        <v>116</v>
      </c>
      <c r="B31" s="1" t="s">
        <v>117</v>
      </c>
      <c r="C31" s="1" t="s">
        <v>118</v>
      </c>
      <c r="D31" s="1" t="s">
        <v>8</v>
      </c>
      <c r="E31" s="1" t="s">
        <v>119</v>
      </c>
      <c r="F31" s="1">
        <v>3523932658.9409819</v>
      </c>
      <c r="G31" s="2">
        <v>364255.26</v>
      </c>
      <c r="H31" s="1">
        <f>F31/G31</f>
        <v>9674.3494079975171</v>
      </c>
      <c r="I31" s="1">
        <v>2.544955387154429E-12</v>
      </c>
    </row>
    <row r="32" spans="1:9" x14ac:dyDescent="0.25">
      <c r="A32" s="1" t="s">
        <v>113</v>
      </c>
      <c r="B32" s="1" t="s">
        <v>15</v>
      </c>
      <c r="C32" s="1" t="s">
        <v>114</v>
      </c>
      <c r="D32" s="1" t="s">
        <v>8</v>
      </c>
      <c r="E32" s="1" t="s">
        <v>115</v>
      </c>
      <c r="F32" s="1">
        <v>3459954439.2897801</v>
      </c>
      <c r="G32" s="2">
        <v>94854.74</v>
      </c>
      <c r="H32" s="1">
        <f>F32/G32</f>
        <v>36476.347299985006</v>
      </c>
      <c r="I32" s="1">
        <v>4.3605949411160594E-12</v>
      </c>
    </row>
    <row r="33" spans="1:9" x14ac:dyDescent="0.25">
      <c r="A33" s="1" t="s">
        <v>47</v>
      </c>
      <c r="B33" s="1" t="s">
        <v>48</v>
      </c>
      <c r="C33" s="1" t="s">
        <v>49</v>
      </c>
      <c r="D33" s="1" t="s">
        <v>8</v>
      </c>
      <c r="E33" s="1" t="s">
        <v>50</v>
      </c>
      <c r="F33" s="1">
        <v>3400991680.0539889</v>
      </c>
      <c r="G33" s="2">
        <v>274272.21999999997</v>
      </c>
      <c r="H33" s="1">
        <f>F33/G33</f>
        <v>12400.058890594131</v>
      </c>
      <c r="I33" s="1">
        <v>3.4613690034234849E-12</v>
      </c>
    </row>
    <row r="34" spans="1:9" x14ac:dyDescent="0.25">
      <c r="A34" s="1" t="s">
        <v>10</v>
      </c>
      <c r="B34" s="1" t="s">
        <v>11</v>
      </c>
      <c r="C34" s="1" t="s">
        <v>12</v>
      </c>
      <c r="D34" s="1" t="s">
        <v>8</v>
      </c>
      <c r="E34" s="1" t="s">
        <v>13</v>
      </c>
      <c r="F34" s="1">
        <v>3261516271.3126111</v>
      </c>
      <c r="G34" s="2">
        <v>308223.65000000002</v>
      </c>
      <c r="H34" s="1">
        <f>F34/G34</f>
        <v>10581.654818871331</v>
      </c>
      <c r="I34" s="1">
        <v>4.0350354404892437E-12</v>
      </c>
    </row>
    <row r="35" spans="1:9" x14ac:dyDescent="0.25">
      <c r="A35" s="1" t="s">
        <v>18</v>
      </c>
      <c r="B35" s="1" t="s">
        <v>19</v>
      </c>
      <c r="C35" s="1" t="s">
        <v>20</v>
      </c>
      <c r="D35" s="1" t="s">
        <v>8</v>
      </c>
      <c r="E35" s="1" t="s">
        <v>21</v>
      </c>
      <c r="F35" s="1">
        <v>3254633310.4446402</v>
      </c>
      <c r="G35" s="2">
        <v>211733.32</v>
      </c>
      <c r="H35" s="1">
        <f>F35/G35</f>
        <v>15371.379953068512</v>
      </c>
      <c r="I35" s="1">
        <v>4.2657344487573954E-12</v>
      </c>
    </row>
    <row r="36" spans="1:9" x14ac:dyDescent="0.25">
      <c r="A36" s="1" t="s">
        <v>5</v>
      </c>
      <c r="B36" s="1" t="s">
        <v>6</v>
      </c>
      <c r="C36" s="1" t="s">
        <v>7</v>
      </c>
      <c r="D36" s="1" t="s">
        <v>8</v>
      </c>
      <c r="E36" s="1" t="s">
        <v>9</v>
      </c>
      <c r="F36" s="1">
        <v>3204994825.0428152</v>
      </c>
      <c r="G36" s="2">
        <v>210407.15</v>
      </c>
      <c r="H36" s="1">
        <f>F36/G36</f>
        <v>15232.347498850753</v>
      </c>
      <c r="I36" s="1">
        <v>4.878319292944034E-12</v>
      </c>
    </row>
    <row r="37" spans="1:9" x14ac:dyDescent="0.25">
      <c r="A37" s="1" t="s">
        <v>26</v>
      </c>
      <c r="B37" s="1" t="s">
        <v>27</v>
      </c>
      <c r="C37" s="1" t="s">
        <v>28</v>
      </c>
      <c r="D37" s="1" t="s">
        <v>8</v>
      </c>
      <c r="E37" s="1" t="s">
        <v>29</v>
      </c>
      <c r="F37" s="1">
        <v>3117375709.4552851</v>
      </c>
      <c r="G37" s="2">
        <v>248567.2</v>
      </c>
      <c r="H37" s="1">
        <f>F37/G37</f>
        <v>12541.37999484761</v>
      </c>
      <c r="I37" s="1">
        <v>3.7358594074770316E-12</v>
      </c>
    </row>
    <row r="38" spans="1:9" x14ac:dyDescent="0.25">
      <c r="A38" s="1" t="s">
        <v>97</v>
      </c>
      <c r="B38" s="1" t="s">
        <v>23</v>
      </c>
      <c r="C38" s="1" t="s">
        <v>98</v>
      </c>
      <c r="D38" s="1" t="s">
        <v>8</v>
      </c>
      <c r="E38" s="1" t="s">
        <v>99</v>
      </c>
      <c r="F38" s="1">
        <v>3082594047.885191</v>
      </c>
      <c r="G38" s="2">
        <v>147742.31</v>
      </c>
      <c r="H38" s="1">
        <f>F38/G38</f>
        <v>20864.666647524267</v>
      </c>
      <c r="I38" s="1">
        <v>3.7779857040409664E-12</v>
      </c>
    </row>
    <row r="39" spans="1:9" x14ac:dyDescent="0.25">
      <c r="A39" s="1" t="s">
        <v>156</v>
      </c>
      <c r="B39" s="1" t="s">
        <v>66</v>
      </c>
      <c r="C39" s="1" t="s">
        <v>157</v>
      </c>
      <c r="D39" s="1" t="s">
        <v>8</v>
      </c>
      <c r="E39" s="1" t="s">
        <v>158</v>
      </c>
      <c r="F39" s="1">
        <v>3077469039.5189338</v>
      </c>
      <c r="G39" s="2">
        <v>136338.01999999999</v>
      </c>
      <c r="H39" s="1">
        <f>F39/G39</f>
        <v>22572.34658035179</v>
      </c>
      <c r="I39" s="1">
        <v>4.1707379400936984E-12</v>
      </c>
    </row>
    <row r="40" spans="1:9" x14ac:dyDescent="0.25">
      <c r="A40" s="1" t="s">
        <v>165</v>
      </c>
      <c r="B40" s="1" t="s">
        <v>62</v>
      </c>
      <c r="C40" s="1" t="s">
        <v>166</v>
      </c>
      <c r="D40" s="1" t="s">
        <v>8</v>
      </c>
      <c r="E40" s="1" t="s">
        <v>167</v>
      </c>
      <c r="F40" s="1">
        <v>3010736199.7967482</v>
      </c>
      <c r="G40" s="2">
        <v>325591.02</v>
      </c>
      <c r="H40" s="1">
        <f>F40/G40</f>
        <v>9246.9878309197466</v>
      </c>
      <c r="I40" s="1">
        <v>3.6491909211460579E-12</v>
      </c>
    </row>
    <row r="41" spans="1:9" x14ac:dyDescent="0.25">
      <c r="A41" s="1" t="s">
        <v>14</v>
      </c>
      <c r="B41" s="1" t="s">
        <v>15</v>
      </c>
      <c r="C41" s="1" t="s">
        <v>16</v>
      </c>
      <c r="D41" s="1" t="s">
        <v>8</v>
      </c>
      <c r="E41" s="1" t="s">
        <v>17</v>
      </c>
      <c r="F41" s="1">
        <v>2820251938.8788071</v>
      </c>
      <c r="G41" s="2">
        <v>108543.03999999999</v>
      </c>
      <c r="H41" s="1">
        <f>F41/G41</f>
        <v>25982.798518254207</v>
      </c>
      <c r="I41" s="1">
        <v>3.2477718051420671E-12</v>
      </c>
    </row>
    <row r="42" spans="1:9" x14ac:dyDescent="0.25">
      <c r="A42" s="1" t="s">
        <v>168</v>
      </c>
      <c r="B42" s="1" t="s">
        <v>66</v>
      </c>
      <c r="C42" s="1" t="s">
        <v>169</v>
      </c>
      <c r="D42" s="1" t="s">
        <v>8</v>
      </c>
      <c r="E42" s="1" t="s">
        <v>170</v>
      </c>
      <c r="F42" s="1">
        <v>2711143443.329905</v>
      </c>
      <c r="G42" s="2">
        <v>200925.53</v>
      </c>
      <c r="H42" s="1">
        <f>F42/G42</f>
        <v>13493.275062307439</v>
      </c>
      <c r="I42" s="1">
        <v>4.2222358508476647E-12</v>
      </c>
    </row>
    <row r="43" spans="1:9" x14ac:dyDescent="0.25">
      <c r="A43" s="1" t="s">
        <v>33</v>
      </c>
      <c r="B43" s="1" t="s">
        <v>23</v>
      </c>
      <c r="C43" s="1" t="s">
        <v>34</v>
      </c>
      <c r="D43" s="1" t="s">
        <v>8</v>
      </c>
      <c r="E43" s="1" t="s">
        <v>35</v>
      </c>
      <c r="F43" s="1">
        <v>2236818655.6361499</v>
      </c>
      <c r="G43" s="2">
        <v>270781.40999999997</v>
      </c>
      <c r="H43" s="1">
        <f>F43/G43</f>
        <v>8260.6064265495552</v>
      </c>
      <c r="I43" s="1">
        <v>4.9982097982494914E-12</v>
      </c>
    </row>
    <row r="44" spans="1:9" x14ac:dyDescent="0.25">
      <c r="A44" s="1" t="s">
        <v>51</v>
      </c>
      <c r="B44" s="1" t="s">
        <v>15</v>
      </c>
      <c r="C44" s="1" t="s">
        <v>52</v>
      </c>
      <c r="D44" s="1" t="s">
        <v>8</v>
      </c>
      <c r="E44" s="1" t="s">
        <v>53</v>
      </c>
      <c r="F44" s="1">
        <v>2184881282.1401</v>
      </c>
      <c r="G44" s="2">
        <v>106974.57</v>
      </c>
      <c r="H44" s="1">
        <f>F44/G44</f>
        <v>20424.305347898102</v>
      </c>
      <c r="I44" s="1">
        <v>4.9222883935668212E-12</v>
      </c>
    </row>
    <row r="45" spans="1:9" x14ac:dyDescent="0.25">
      <c r="A45" s="1" t="s">
        <v>44</v>
      </c>
      <c r="B45" s="1" t="s">
        <v>15</v>
      </c>
      <c r="C45" s="1" t="s">
        <v>45</v>
      </c>
      <c r="D45" s="1" t="s">
        <v>8</v>
      </c>
      <c r="E45" s="1" t="s">
        <v>46</v>
      </c>
      <c r="F45" s="1">
        <v>2180877268.1084819</v>
      </c>
      <c r="G45" s="2">
        <v>100349.49</v>
      </c>
      <c r="H45" s="1">
        <f>F45/G45</f>
        <v>21732.818653173839</v>
      </c>
      <c r="I45" s="1">
        <v>4.4283559202347648E-12</v>
      </c>
    </row>
    <row r="46" spans="1:9" x14ac:dyDescent="0.25">
      <c r="A46" s="1" t="s">
        <v>72</v>
      </c>
      <c r="B46" s="1" t="s">
        <v>23</v>
      </c>
      <c r="C46" s="1" t="s">
        <v>73</v>
      </c>
      <c r="D46" s="1" t="s">
        <v>8</v>
      </c>
      <c r="E46" s="1" t="s">
        <v>74</v>
      </c>
      <c r="F46" s="1">
        <v>2032368871.917083</v>
      </c>
      <c r="G46" s="2">
        <v>131657.72</v>
      </c>
      <c r="H46" s="1">
        <f>F46/G46</f>
        <v>15436.761869467913</v>
      </c>
      <c r="I46" s="1">
        <v>5.8059869838842282E-12</v>
      </c>
    </row>
    <row r="47" spans="1:9" x14ac:dyDescent="0.25">
      <c r="A47" s="1" t="s">
        <v>94</v>
      </c>
      <c r="B47" s="1" t="s">
        <v>6</v>
      </c>
      <c r="C47" s="1" t="s">
        <v>95</v>
      </c>
      <c r="D47" s="1" t="s">
        <v>8</v>
      </c>
      <c r="E47" s="1" t="s">
        <v>96</v>
      </c>
      <c r="F47" s="1">
        <v>1924273295.3578501</v>
      </c>
      <c r="G47" s="2">
        <v>276409.65999999997</v>
      </c>
      <c r="H47" s="1">
        <f>F47/G47</f>
        <v>6961.6716556065739</v>
      </c>
      <c r="I47" s="1">
        <v>7.2335823864605661E-12</v>
      </c>
    </row>
    <row r="48" spans="1:9" x14ac:dyDescent="0.25">
      <c r="A48" s="1" t="s">
        <v>61</v>
      </c>
      <c r="B48" s="1" t="s">
        <v>62</v>
      </c>
      <c r="C48" s="1" t="s">
        <v>63</v>
      </c>
      <c r="D48" s="1" t="s">
        <v>8</v>
      </c>
      <c r="E48" s="1" t="s">
        <v>64</v>
      </c>
      <c r="F48" s="1">
        <v>1876815675.6885419</v>
      </c>
      <c r="G48" s="2">
        <v>178854.72</v>
      </c>
      <c r="H48" s="1">
        <f>F48/G48</f>
        <v>10493.520527098988</v>
      </c>
      <c r="I48" s="1">
        <v>5.9440082528353494E-12</v>
      </c>
    </row>
    <row r="49" spans="1:9" x14ac:dyDescent="0.25">
      <c r="A49" s="1" t="s">
        <v>132</v>
      </c>
      <c r="B49" s="1" t="s">
        <v>23</v>
      </c>
      <c r="C49" s="1" t="s">
        <v>133</v>
      </c>
      <c r="D49" s="1" t="s">
        <v>8</v>
      </c>
      <c r="E49" s="1" t="s">
        <v>134</v>
      </c>
      <c r="F49" s="1">
        <v>1874551193.01386</v>
      </c>
      <c r="G49" s="2">
        <v>184280.01</v>
      </c>
      <c r="H49" s="1">
        <f>F49/G49</f>
        <v>10172.298086015189</v>
      </c>
      <c r="I49" s="1">
        <v>5.0223619615060354E-12</v>
      </c>
    </row>
    <row r="50" spans="1:9" x14ac:dyDescent="0.25">
      <c r="A50" s="1" t="s">
        <v>147</v>
      </c>
      <c r="B50" s="1" t="s">
        <v>79</v>
      </c>
      <c r="C50" s="1" t="s">
        <v>148</v>
      </c>
      <c r="D50" s="1" t="s">
        <v>8</v>
      </c>
      <c r="E50" s="1" t="s">
        <v>149</v>
      </c>
      <c r="F50" s="1">
        <v>1458912408.0305581</v>
      </c>
      <c r="G50" s="2">
        <v>103753.72</v>
      </c>
      <c r="H50" s="1">
        <f>F50/G50</f>
        <v>14061.302168544493</v>
      </c>
      <c r="I50" s="1">
        <v>8.4800641673020796E-12</v>
      </c>
    </row>
    <row r="51" spans="1:9" x14ac:dyDescent="0.25">
      <c r="A51" s="1" t="s">
        <v>120</v>
      </c>
      <c r="B51" s="1" t="s">
        <v>79</v>
      </c>
      <c r="C51" s="1" t="s">
        <v>121</v>
      </c>
      <c r="D51" s="1" t="s">
        <v>8</v>
      </c>
      <c r="E51" s="1" t="s">
        <v>122</v>
      </c>
      <c r="F51" s="1">
        <v>1372913698.2801089</v>
      </c>
      <c r="G51" s="2">
        <v>230086.46</v>
      </c>
      <c r="H51" s="1">
        <f>F51/G51</f>
        <v>5966.9469393379732</v>
      </c>
      <c r="I51" s="1">
        <v>6.3398899139931167E-12</v>
      </c>
    </row>
  </sheetData>
  <sortState xmlns:xlrd2="http://schemas.microsoft.com/office/spreadsheetml/2017/richdata2" ref="A2:I51">
    <sortCondition descending="1" ref="F2:F5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HRIDYANSH GUPTA</cp:lastModifiedBy>
  <dcterms:created xsi:type="dcterms:W3CDTF">2026-03-29T05:40:25Z</dcterms:created>
  <dcterms:modified xsi:type="dcterms:W3CDTF">2026-03-29T09:50:37Z</dcterms:modified>
</cp:coreProperties>
</file>